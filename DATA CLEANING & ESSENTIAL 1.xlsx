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harsh\"/>
    </mc:Choice>
  </mc:AlternateContent>
  <bookViews>
    <workbookView xWindow="0" yWindow="0" windowWidth="20490" windowHeight="8925" activeTab="4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</sheets>
  <calcPr calcId="152511"/>
</workbook>
</file>

<file path=xl/calcChain.xml><?xml version="1.0" encoding="utf-8"?>
<calcChain xmlns="http://schemas.openxmlformats.org/spreadsheetml/2006/main">
  <c r="D48" i="8" l="1"/>
  <c r="D34" i="8"/>
  <c r="D32" i="8"/>
  <c r="C29" i="8"/>
  <c r="E18" i="8"/>
  <c r="F23" i="7"/>
  <c r="F22" i="7"/>
  <c r="F21" i="7"/>
  <c r="C16" i="7"/>
  <c r="F21" i="6"/>
  <c r="F19" i="6"/>
  <c r="F17" i="6"/>
  <c r="F15" i="6"/>
  <c r="F13" i="6"/>
  <c r="F13" i="4"/>
  <c r="I59" i="3"/>
  <c r="G45" i="3"/>
  <c r="D44" i="3"/>
  <c r="F33" i="3"/>
  <c r="D32" i="3"/>
  <c r="F21" i="3"/>
  <c r="D20" i="3"/>
  <c r="G9" i="3"/>
  <c r="D8" i="3"/>
  <c r="C18" i="7"/>
  <c r="E12" i="7"/>
  <c r="F14" i="7"/>
</calcChain>
</file>

<file path=xl/sharedStrings.xml><?xml version="1.0" encoding="utf-8"?>
<sst xmlns="http://schemas.openxmlformats.org/spreadsheetml/2006/main" count="298" uniqueCount="259">
  <si>
    <t>1.What is data cleaning, and why is it important in data analysis?</t>
  </si>
  <si>
    <t>a.What are the potential consequences of analyzing unclean or messy data?</t>
  </si>
  <si>
    <t>b.Explain the common steps involved in cleaning and organizing data.</t>
  </si>
  <si>
    <t xml:space="preserve">Answer- </t>
  </si>
  <si>
    <t>Data cleaning is the process of identifying and fixing errors, inconsistencies, and inaccuracies in a dataset before analyzing it. It is an essential step in data analysis because raw data is often incomplete, duplicated, incorrectly formatted, or contains irrelevant information.</t>
  </si>
  <si>
    <t>Data cleaning improves the quality and reliability of analysis. Without it:</t>
  </si>
  <si>
    <r>
      <rPr>
        <sz val="12"/>
        <color theme="1"/>
        <rFont val="Aptos Narrow"/>
      </rPr>
      <t>*</t>
    </r>
    <r>
      <rPr>
        <sz val="12"/>
        <color theme="1"/>
        <rFont val="Calibri"/>
      </rPr>
      <t>Results may be inaccurate or misleading.</t>
    </r>
  </si>
  <si>
    <r>
      <rPr>
        <sz val="12"/>
        <color theme="1"/>
        <rFont val="Aptos Narrow"/>
      </rPr>
      <t>*</t>
    </r>
    <r>
      <rPr>
        <sz val="12"/>
        <color theme="1"/>
        <rFont val="Calibri"/>
      </rPr>
      <t>Machine learning models may perform poorly.</t>
    </r>
  </si>
  <si>
    <r>
      <rPr>
        <sz val="12"/>
        <color theme="1"/>
        <rFont val="Aptos Narrow"/>
      </rPr>
      <t>*</t>
    </r>
    <r>
      <rPr>
        <sz val="12"/>
        <color theme="1"/>
        <rFont val="Calibri"/>
      </rPr>
      <t>Decisions based on the data could be wrong.</t>
    </r>
  </si>
  <si>
    <r>
      <rPr>
        <sz val="12"/>
        <color theme="1"/>
        <rFont val="Aptos Narrow"/>
      </rPr>
      <t>*</t>
    </r>
    <r>
      <rPr>
        <sz val="12"/>
        <color theme="1"/>
        <rFont val="Calibri"/>
      </rPr>
      <t>Visualizations and reports may contain errors.</t>
    </r>
  </si>
  <si>
    <t>A :- Analyzing unclean or messy data can lead to several serious problems:</t>
  </si>
  <si>
    <t>1.Incorrect Results</t>
  </si>
  <si>
    <t>Errors, duplicates, or missing values can produce inaccurate calculations and misleading conclusions.</t>
  </si>
  <si>
    <t>2.Poor Decision-Making</t>
  </si>
  <si>
    <t>Organizations may make wrong business, financial, or operational decisions based on unreliable insights.</t>
  </si>
  <si>
    <t>3.Reduced Model Performance</t>
  </si>
  <si>
    <t>In machine learning and predictive analytics, poor-quality data can lead to inaccurate predictions and lower model accuracy.</t>
  </si>
  <si>
    <t>4.Biased Analysis</t>
  </si>
  <si>
    <t>Missing or inconsistent data can introduce bias, causing results to misrepresent reality.</t>
  </si>
  <si>
    <t>5.Wasted Time and Resources</t>
  </si>
  <si>
    <t>Analysts may spend extra time investigating unexpected results that are actually caused by data quality issues.</t>
  </si>
  <si>
    <t>6.Inconsistent Reporting</t>
  </si>
  <si>
    <t>Different reports may show conflicting results if the underlying data contains errors or inconsistencies.</t>
  </si>
  <si>
    <t>7.Loss of Credibility</t>
  </si>
  <si>
    <t>Stakeholders may lose trust in the analysis and the organization if reports are found to be inaccurate.</t>
  </si>
  <si>
    <t>B:-Common Steps Involved in Cleaning and Organizing Data</t>
  </si>
  <si>
    <t>Data cleaning and organization involve preparing raw data so it is accurate, consistent, and ready for analysis. The common steps are:</t>
  </si>
  <si>
    <t>1. Collect and Inspect the Data</t>
  </si>
  <si>
    <t>Review the dataset to understand its structure, variables, and potential issues.</t>
  </si>
  <si>
    <t>Identify missing values, errors, duplicates, and inconsistencies.</t>
  </si>
  <si>
    <t>2. Remove Duplicate Records</t>
  </si>
  <si>
    <t>Find and delete repeated entries that could distort analysis results.</t>
  </si>
  <si>
    <t>Ensure each observation appears only once unless duplicates are valid.</t>
  </si>
  <si>
    <t>3. Handle Missing Data</t>
  </si>
  <si>
    <t>Fill missing values using appropriate methods (mean, median, mode, or estimation).</t>
  </si>
  <si>
    <t>Remove records with excessive missing information when necessary.</t>
  </si>
  <si>
    <t>4. Correct Errors</t>
  </si>
  <si>
    <t>Fix spelling mistakes, typing errors, and incorrect values.</t>
  </si>
  <si>
    <t>Validate data against known rules or standards.</t>
  </si>
  <si>
    <t>5. Standardize Formats</t>
  </si>
  <si>
    <t>Ensure consistency in dates, units, currencies, and text entries.</t>
  </si>
  <si>
    <t>Example: Convert all dates to a single format such as DD/MM/YYYY.</t>
  </si>
  <si>
    <t>6. Deal with Outliers</t>
  </si>
  <si>
    <t>Identify unusual or extreme values.</t>
  </si>
  <si>
    <t>Investigate whether they are genuine observations or data-entry errors.</t>
  </si>
  <si>
    <t>7. Organize and Structure the Data</t>
  </si>
  <si>
    <t>Arrange data into a logical format with clear rows and columns.</t>
  </si>
  <si>
    <t>Rename variables and create meaningful labels for easier understanding.</t>
  </si>
  <si>
    <t>8. Transform Data if Needed</t>
  </si>
  <si>
    <t>Convert data types (e.g., text to numeric).</t>
  </si>
  <si>
    <t>Create new variables, group categories, or normalize values for analysis.</t>
  </si>
  <si>
    <t>9. Validate and Verify</t>
  </si>
  <si>
    <t>Check the cleaned dataset for accuracy and completeness.</t>
  </si>
  <si>
    <t>Ensure that all corrections and transformations have been applied correctly.</t>
  </si>
  <si>
    <t>10. Document the Cleaning Process</t>
  </si>
  <si>
    <t>Record all changes made to the dataset.</t>
  </si>
  <si>
    <t>This improves transparency and reproducibility of the analysis.</t>
  </si>
  <si>
    <t>2.How would you sort the following dataset first by "Department" (A-Z) and then by "Salary" (Largest to Smallest)? Write a step-by-step approach</t>
  </si>
  <si>
    <t>Employee</t>
  </si>
  <si>
    <t>Department</t>
  </si>
  <si>
    <t>Salary</t>
  </si>
  <si>
    <t>sonu</t>
  </si>
  <si>
    <t>IT</t>
  </si>
  <si>
    <t>pranav</t>
  </si>
  <si>
    <t>HR</t>
  </si>
  <si>
    <t>rahul</t>
  </si>
  <si>
    <t>ANSWER -</t>
  </si>
  <si>
    <t>To sort a dataset first by "Department" (A–Z) and then by "Salary" (Largest to Smallest), follow these steps:</t>
  </si>
  <si>
    <t>Step-by-Step Approach</t>
  </si>
  <si>
    <t>Department2</t>
  </si>
  <si>
    <t>1. Select the entire dataset</t>
  </si>
  <si>
    <t>pranv</t>
  </si>
  <si>
    <t>Include all rows and columns, including the headers.</t>
  </si>
  <si>
    <t xml:space="preserve">sonu </t>
  </si>
  <si>
    <t>2. Open the Sort feature</t>
  </si>
  <si>
    <r>
      <rPr>
        <sz val="11"/>
        <color theme="1"/>
        <rFont val="Calibri"/>
      </rPr>
      <t xml:space="preserve">In spreadsheet software (such as Excel), go to the </t>
    </r>
    <r>
      <rPr>
        <b/>
        <sz val="11"/>
        <color theme="1"/>
        <rFont val="Calibri"/>
      </rPr>
      <t>Data</t>
    </r>
    <r>
      <rPr>
        <sz val="11"/>
        <color theme="1"/>
        <rFont val="Calibri"/>
      </rPr>
      <t xml:space="preserve"> tab and click </t>
    </r>
    <r>
      <rPr>
        <b/>
        <sz val="11"/>
        <color theme="1"/>
        <rFont val="Calibri"/>
      </rPr>
      <t>Sort</t>
    </r>
    <r>
      <rPr>
        <sz val="11"/>
        <color theme="1"/>
        <rFont val="Calibri"/>
      </rPr>
      <t>.</t>
    </r>
  </si>
  <si>
    <t>3. Set the first sorting level</t>
  </si>
  <si>
    <r>
      <rPr>
        <sz val="11"/>
        <color theme="1"/>
        <rFont val="Calibri"/>
      </rPr>
      <t xml:space="preserve">Choose </t>
    </r>
    <r>
      <rPr>
        <b/>
        <sz val="11"/>
        <color theme="1"/>
        <rFont val="Calibri"/>
      </rPr>
      <t>Department</t>
    </r>
    <r>
      <rPr>
        <sz val="11"/>
        <color theme="1"/>
        <rFont val="Calibri"/>
      </rPr>
      <t xml:space="preserve"> as the primary sorting column.</t>
    </r>
  </si>
  <si>
    <r>
      <rPr>
        <sz val="11"/>
        <color theme="1"/>
        <rFont val="Calibri"/>
      </rPr>
      <t xml:space="preserve">Select </t>
    </r>
    <r>
      <rPr>
        <b/>
        <sz val="11"/>
        <color theme="1"/>
        <rFont val="Calibri"/>
      </rPr>
      <t>A to Z</t>
    </r>
    <r>
      <rPr>
        <sz val="11"/>
        <color theme="1"/>
        <rFont val="Calibri"/>
      </rPr>
      <t xml:space="preserve"> (ascending order).</t>
    </r>
  </si>
  <si>
    <t>4. Add a second sorting level</t>
  </si>
  <si>
    <r>
      <rPr>
        <sz val="11"/>
        <color theme="1"/>
        <rFont val="Calibri"/>
      </rPr>
      <t xml:space="preserve">Click </t>
    </r>
    <r>
      <rPr>
        <b/>
        <sz val="11"/>
        <color theme="1"/>
        <rFont val="Calibri"/>
      </rPr>
      <t>Add Level</t>
    </r>
    <r>
      <rPr>
        <sz val="11"/>
        <color theme="1"/>
        <rFont val="Calibri"/>
      </rPr>
      <t xml:space="preserve"> (or equivalent option).</t>
    </r>
  </si>
  <si>
    <r>
      <rPr>
        <sz val="11"/>
        <color theme="1"/>
        <rFont val="Calibri"/>
      </rPr>
      <t xml:space="preserve">Choose </t>
    </r>
    <r>
      <rPr>
        <b/>
        <sz val="11"/>
        <color theme="1"/>
        <rFont val="Calibri"/>
      </rPr>
      <t>Salary</t>
    </r>
    <r>
      <rPr>
        <sz val="11"/>
        <color theme="1"/>
        <rFont val="Calibri"/>
      </rPr>
      <t xml:space="preserve"> as the second sorting column.</t>
    </r>
  </si>
  <si>
    <r>
      <rPr>
        <sz val="11"/>
        <color theme="1"/>
        <rFont val="Calibri"/>
      </rPr>
      <t xml:space="preserve">Select </t>
    </r>
    <r>
      <rPr>
        <b/>
        <sz val="11"/>
        <color theme="1"/>
        <rFont val="Calibri"/>
      </rPr>
      <t>Largest to Smallest</t>
    </r>
    <r>
      <rPr>
        <sz val="11"/>
        <color theme="1"/>
        <rFont val="Calibri"/>
      </rPr>
      <t xml:space="preserve"> (descending order).</t>
    </r>
  </si>
  <si>
    <t>5. Apply the sort</t>
  </si>
  <si>
    <r>
      <rPr>
        <sz val="11"/>
        <color theme="1"/>
        <rFont val="Calibri"/>
      </rPr>
      <t xml:space="preserve">Click </t>
    </r>
    <r>
      <rPr>
        <b/>
        <sz val="11"/>
        <color theme="1"/>
        <rFont val="Calibri"/>
      </rPr>
      <t>OK</t>
    </r>
    <r>
      <rPr>
        <sz val="11"/>
        <color theme="1"/>
        <rFont val="Calibri"/>
      </rPr>
      <t xml:space="preserve"> or </t>
    </r>
    <r>
      <rPr>
        <b/>
        <sz val="11"/>
        <color theme="1"/>
        <rFont val="Calibri"/>
      </rPr>
      <t>Sort</t>
    </r>
    <r>
      <rPr>
        <sz val="11"/>
        <color theme="1"/>
        <rFont val="Calibri"/>
      </rPr>
      <t>.</t>
    </r>
  </si>
  <si>
    <t>6. Review the results</t>
  </si>
  <si>
    <t>Departments will appear in alphabetical order.</t>
  </si>
  <si>
    <t>Within each department, employees will be arranged from the highest salary to the lowest salary.</t>
  </si>
  <si>
    <t>3.explain the use of text functions such as TRIM , LEFT, RIGHT, MID, and CONCAT in data cleaning.</t>
  </si>
  <si>
    <t>1. TRIM Function</t>
  </si>
  <si>
    <r>
      <rPr>
        <b/>
        <sz val="11"/>
        <color theme="1"/>
        <rFont val="Calibri"/>
      </rPr>
      <t>Purpose:</t>
    </r>
    <r>
      <rPr>
        <sz val="11"/>
        <color theme="1"/>
        <rFont val="Calibri"/>
      </rPr>
      <t xml:space="preserve"> Removes extra spaces from text, leaving only single spaces between words.</t>
    </r>
  </si>
  <si>
    <t>Syntax</t>
  </si>
  <si>
    <t>EXAMPLE=</t>
  </si>
  <si>
    <t>" harsh pandey "</t>
  </si>
  <si>
    <t>Use in Data Cleaning:</t>
  </si>
  <si>
    <t>Removes unwanted leading and trailing spaces.</t>
  </si>
  <si>
    <t>Prevents errors in sorting, filtering, and matching records.</t>
  </si>
  <si>
    <t>2. LEFT Function</t>
  </si>
  <si>
    <r>
      <rPr>
        <b/>
        <sz val="11"/>
        <color theme="1"/>
        <rFont val="Calibri"/>
      </rPr>
      <t>Purpose:</t>
    </r>
    <r>
      <rPr>
        <sz val="11"/>
        <color theme="1"/>
        <rFont val="Calibri"/>
      </rPr>
      <t xml:space="preserve"> Extracts a specified number of characters from the beginning (left side) of a text string.</t>
    </r>
  </si>
  <si>
    <t>Syntax:</t>
  </si>
  <si>
    <t>EXAMPLE:-</t>
  </si>
  <si>
    <t>harsh12345</t>
  </si>
  <si>
    <t>Extracts prefixes, codes, or initials.</t>
  </si>
  <si>
    <t>Separates structured data fields.</t>
  </si>
  <si>
    <t>3. RIGHT Function</t>
  </si>
  <si>
    <r>
      <rPr>
        <b/>
        <sz val="11"/>
        <color theme="1"/>
        <rFont val="Calibri"/>
      </rPr>
      <t>Purpose:</t>
    </r>
    <r>
      <rPr>
        <sz val="11"/>
        <color theme="1"/>
        <rFont val="Calibri"/>
      </rPr>
      <t xml:space="preserve"> Extracts a specified number of characters from the end (right side) of a text string.</t>
    </r>
  </si>
  <si>
    <t>Retrieves IDs, suffixes, or last digits from a code.</t>
  </si>
  <si>
    <t>Separates information stored at the end of text strings.</t>
  </si>
  <si>
    <t>4. MID Function</t>
  </si>
  <si>
    <r>
      <rPr>
        <b/>
        <sz val="11"/>
        <color theme="1"/>
        <rFont val="Calibri"/>
      </rPr>
      <t>Purpose:</t>
    </r>
    <r>
      <rPr>
        <sz val="11"/>
        <color theme="1"/>
        <rFont val="Calibri"/>
      </rPr>
      <t xml:space="preserve"> Extracts characters from the middle of a text string, starting at a specified position.</t>
    </r>
  </si>
  <si>
    <r>
      <rPr>
        <b/>
        <sz val="11"/>
        <color theme="1"/>
        <rFont val="Calibri"/>
      </rPr>
      <t xml:space="preserve">EXAMPLE:- </t>
    </r>
    <r>
      <rPr>
        <sz val="11"/>
        <color theme="1"/>
        <rFont val="Calibri"/>
      </rPr>
      <t>harsh1234</t>
    </r>
  </si>
  <si>
    <t>harsh-12345</t>
  </si>
  <si>
    <t>Extracts specific portions of text such as area codes, product codes, or dates.</t>
  </si>
  <si>
    <t>Helps split combined data into separate fields.</t>
  </si>
  <si>
    <t>5. CONCAT Function</t>
  </si>
  <si>
    <r>
      <rPr>
        <b/>
        <sz val="11"/>
        <color theme="1"/>
        <rFont val="Calibri"/>
      </rPr>
      <t>Purpose:</t>
    </r>
    <r>
      <rPr>
        <sz val="11"/>
        <color theme="1"/>
        <rFont val="Calibri"/>
      </rPr>
      <t xml:space="preserve"> Combines text from multiple cells or strings into one text string.</t>
    </r>
  </si>
  <si>
    <t>=CONCAT(text1, text2, ...)</t>
  </si>
  <si>
    <t xml:space="preserve">EXAMPLE :- </t>
  </si>
  <si>
    <t>FIRST NAME</t>
  </si>
  <si>
    <t>SECOND NAME</t>
  </si>
  <si>
    <t>FUNCTION</t>
  </si>
  <si>
    <t>harsh</t>
  </si>
  <si>
    <t>pandy</t>
  </si>
  <si>
    <t>Merges data from multiple columns.</t>
  </si>
  <si>
    <t>Creates standardized names, addresses, or identifiers.</t>
  </si>
  <si>
    <t>4.What is the role of date functions like TODAY in managing datasets?</t>
  </si>
  <si>
    <t>ANSWER:-</t>
  </si>
  <si>
    <t>Role of Date Functions Like TODAY() in Managing Datasets</t>
  </si>
  <si>
    <t>Date functions are important tools in spreadsheet applications such as Excel and Google Sheets. They help users work with dates efficiently, automate calculations, and keep datasets up to date.</t>
  </si>
  <si>
    <t>TODAY() Function</t>
  </si>
  <si>
    <r>
      <rPr>
        <b/>
        <sz val="11"/>
        <color theme="1"/>
        <rFont val="Calibri"/>
      </rPr>
      <t>Purpose:</t>
    </r>
    <r>
      <rPr>
        <sz val="11"/>
        <color theme="1"/>
        <rFont val="Calibri"/>
      </rPr>
      <t xml:space="preserve"> Returns the current date automatically and updates whenever the worksheet is recalculated or opened.</t>
    </r>
  </si>
  <si>
    <t xml:space="preserve">SUNTAX OR EXAMPLE := </t>
  </si>
  <si>
    <t>5.Apply Data Validation to restrict Quantity values to only whole numbers between 1 and 10</t>
  </si>
  <si>
    <t>a.Configure an input message that appears when a user selects a cell in the "Quantity" column explaining:  "Please enter a whole number between 1 and 10."</t>
  </si>
  <si>
    <t>b.Set up an error alert message that triggers if the user enters a number less than 1 or greater than 10, showing:</t>
  </si>
  <si>
    <t>"Invalid input! The quantity must be a whole number between 1 and 10."</t>
  </si>
  <si>
    <t>c.Write a step-by-step approach for this question</t>
  </si>
  <si>
    <t>Customer Name</t>
  </si>
  <si>
    <t>Product Name</t>
  </si>
  <si>
    <t>Category</t>
  </si>
  <si>
    <t>Quantity</t>
  </si>
  <si>
    <t>Unit Price ($)</t>
  </si>
  <si>
    <t>jane smith</t>
  </si>
  <si>
    <t>Shoes</t>
  </si>
  <si>
    <t>Electronics</t>
  </si>
  <si>
    <t>Isabella Moore</t>
  </si>
  <si>
    <t>Laptop</t>
  </si>
  <si>
    <t>Daniel Davis</t>
  </si>
  <si>
    <t>Sofa</t>
  </si>
  <si>
    <t>Clothing</t>
  </si>
  <si>
    <t>Alex Moore</t>
  </si>
  <si>
    <t>Michael Johnson</t>
  </si>
  <si>
    <t>Table Lamp</t>
  </si>
  <si>
    <t>Home Decor</t>
  </si>
  <si>
    <t>Daniel Johnson</t>
  </si>
  <si>
    <t>Backpack</t>
  </si>
  <si>
    <t>Isabella Davis</t>
  </si>
  <si>
    <t>Headphones</t>
  </si>
  <si>
    <t>Jane Davis</t>
  </si>
  <si>
    <t>Alex Wilson</t>
  </si>
  <si>
    <t>T-shirt</t>
  </si>
  <si>
    <t>6.Understand and apply fundamental text functions like LEFT, RIGHT, MID, and LEN.</t>
  </si>
  <si>
    <t>a.Extract the first 5 characters from the string "ExcelTipsAreGreat" using the LEFT function.</t>
  </si>
  <si>
    <t>b.Extract the last 4 characters from "DataAnalysis.xlsx" using the RIGHT function.</t>
  </si>
  <si>
    <t>c.Extract the substring "Tips" from "ExcelTipsAreGreat" using the MID function.</t>
  </si>
  <si>
    <t>d.Count the total number of characters in the string "Hello World!" using the LEN function.</t>
  </si>
  <si>
    <t>e.Create a formula to extract the middle 6 characters from "12345-67890-ABCDE".</t>
  </si>
  <si>
    <t>ANSWER:- A-</t>
  </si>
  <si>
    <t>"ExcelTipsAreGreat"</t>
  </si>
  <si>
    <t>B:-</t>
  </si>
  <si>
    <t>"DataAnalysis.xlsx"</t>
  </si>
  <si>
    <t>C:-</t>
  </si>
  <si>
    <t>"ExcelTipsAreGreat "</t>
  </si>
  <si>
    <t>D:-</t>
  </si>
  <si>
    <t xml:space="preserve"> "Hello World!" </t>
  </si>
  <si>
    <t>E:-</t>
  </si>
  <si>
    <t>12345-67890-ABCDE</t>
  </si>
  <si>
    <t>APLLE</t>
  </si>
  <si>
    <t>BANANA</t>
  </si>
  <si>
    <t>CHERRY</t>
  </si>
  <si>
    <t>MANGO</t>
  </si>
  <si>
    <t>7.understand how to combine text using CONCAT, TEXTJOIN, and the &amp; operator.</t>
  </si>
  <si>
    <t>a.Use CONCAT to combine "Hello" and "World" with a space in between.</t>
  </si>
  <si>
    <t>b.Combine "Apple", "Banana", and "Cherry" into a single string separated by commas using TEXTJOIN.</t>
  </si>
  <si>
    <t>c.Use the &amp; operator to create the string "2025: Excel Functions" by combining "2025", ": ", and "Excel Functions".</t>
  </si>
  <si>
    <t>d.Create a comma-separated list from the range A1:A5 using TEXTJOIN</t>
  </si>
  <si>
    <t>e.Combine first names in column A with last names in column B to create full names in column C.</t>
  </si>
  <si>
    <r>
      <rPr>
        <b/>
        <sz val="11"/>
        <color theme="1"/>
        <rFont val="Calibri"/>
      </rPr>
      <t xml:space="preserve">CONCAT:- </t>
    </r>
    <r>
      <rPr>
        <sz val="11"/>
        <color theme="1"/>
        <rFont val="Calibri"/>
      </rPr>
      <t>A</t>
    </r>
  </si>
  <si>
    <t>Hello</t>
  </si>
  <si>
    <t>World</t>
  </si>
  <si>
    <t>apple</t>
  </si>
  <si>
    <t>banana</t>
  </si>
  <si>
    <t>cherry</t>
  </si>
  <si>
    <t>FULL NAME</t>
  </si>
  <si>
    <t>JOHN</t>
  </si>
  <si>
    <t>Smith</t>
  </si>
  <si>
    <t>Mary</t>
  </si>
  <si>
    <t>Jones</t>
  </si>
  <si>
    <t>David</t>
  </si>
  <si>
    <t>Brown</t>
  </si>
  <si>
    <t>8.Understanding TODAY() and NOW()</t>
  </si>
  <si>
    <t>a.What is the difference between TODAY() and NOW() in Excel? Provide an example of when you would use  each function.</t>
  </si>
  <si>
    <t>b.If cell A1 contains the date 2025-06-10, write a formula using TODAY() to determine how many days are left until that date</t>
  </si>
  <si>
    <t>c.Write an Excel formula using NOW() to display the current date and time in the format MM/DD/YYYY HH:MM AM/PM. ́</t>
  </si>
  <si>
    <t>d.If a cell contains =TODAY(), what will happen when the worksheet is reopened the next day? Explain</t>
  </si>
  <si>
    <t>e.You want to store a static date (today’s date) in a cell without it changing every day. What keyboard shortcut should you use?</t>
  </si>
  <si>
    <t>A</t>
  </si>
  <si>
    <r>
      <rPr>
        <b/>
        <sz val="13"/>
        <color theme="1"/>
        <rFont val="Calibri"/>
      </rPr>
      <t xml:space="preserve">1. </t>
    </r>
    <r>
      <rPr>
        <b/>
        <sz val="10"/>
        <color theme="1"/>
        <rFont val="Arial Unicode MS"/>
      </rPr>
      <t>TODAY()</t>
    </r>
  </si>
  <si>
    <r>
      <rPr>
        <sz val="11"/>
        <color theme="1"/>
        <rFont val="Calibri"/>
      </rPr>
      <t xml:space="preserve">Syntax: </t>
    </r>
    <r>
      <rPr>
        <sz val="10"/>
        <color theme="1"/>
        <rFont val="Arial Unicode MS"/>
      </rPr>
      <t>=TODAY()</t>
    </r>
  </si>
  <si>
    <t>Displays the current date based on your computer's system date.</t>
  </si>
  <si>
    <t>Updates automatically whenever the worksheet recalculates.</t>
  </si>
  <si>
    <t>Example Use:</t>
  </si>
  <si>
    <t>todays date</t>
  </si>
  <si>
    <r>
      <rPr>
        <b/>
        <sz val="13"/>
        <color theme="1"/>
        <rFont val="Calibri"/>
      </rPr>
      <t xml:space="preserve">2. </t>
    </r>
    <r>
      <rPr>
        <b/>
        <sz val="10"/>
        <color theme="1"/>
        <rFont val="Arial Unicode MS"/>
      </rPr>
      <t>NOW()</t>
    </r>
  </si>
  <si>
    <r>
      <rPr>
        <sz val="11"/>
        <color theme="1"/>
        <rFont val="Calibri"/>
      </rPr>
      <t xml:space="preserve">Syntax: </t>
    </r>
    <r>
      <rPr>
        <sz val="10"/>
        <color theme="1"/>
        <rFont val="Arial Unicode MS"/>
      </rPr>
      <t>=NOW()</t>
    </r>
  </si>
  <si>
    <t>Displays the current date and current time.</t>
  </si>
  <si>
    <t>If you need to timestamp when data was last updated:</t>
  </si>
  <si>
    <t>If a cell contains:</t>
  </si>
  <si>
    <t>TODAY()</t>
  </si>
  <si>
    <t>the date displayed will automatically update to the current date whenever the workbook recalculates.</t>
  </si>
  <si>
    <t>When the worksheet is reopened the next day:</t>
  </si>
  <si>
    <r>
      <rPr>
        <b/>
        <sz val="11"/>
        <color theme="1"/>
        <rFont val="Calibri"/>
      </rPr>
      <t xml:space="preserve">1. </t>
    </r>
    <r>
      <rPr>
        <sz val="11"/>
        <color theme="1"/>
        <rFont val="Calibri"/>
      </rPr>
      <t>Excel recalculates the TODAY() function.</t>
    </r>
  </si>
  <si>
    <r>
      <rPr>
        <b/>
        <sz val="11"/>
        <color theme="1"/>
        <rFont val="Calibri"/>
      </rPr>
      <t xml:space="preserve">2. </t>
    </r>
    <r>
      <rPr>
        <sz val="11"/>
        <color theme="1"/>
        <rFont val="Calibri"/>
      </rPr>
      <t>The cell will show the new current date (the next day's date).</t>
    </r>
  </si>
  <si>
    <r>
      <rPr>
        <b/>
        <sz val="11"/>
        <color theme="1"/>
        <rFont val="Calibri"/>
      </rPr>
      <t xml:space="preserve">3. </t>
    </r>
    <r>
      <rPr>
        <sz val="11"/>
        <color theme="1"/>
        <rFont val="Calibri"/>
      </rPr>
      <t>The previous day's date is not retained unless it was entered as a fixed value instead of using TODAY().</t>
    </r>
  </si>
  <si>
    <t>Example:</t>
  </si>
  <si>
    <t>Workbook saved on 06/15/2026 → cell shows 06/15/2026.</t>
  </si>
  <si>
    <t>Workbook reopened on 06/16/2026 → cell automatically changes to 06/16/2026.</t>
  </si>
  <si>
    <t>To insert today's date as a fixed (static) value that will not change, use the keyboard shortcut:</t>
  </si>
  <si>
    <t>Ctrl + ;</t>
  </si>
  <si>
    <t>This enters the current date directly into the cell as a constant value, unlike =TODAY(), which updates automatically each day.</t>
  </si>
  <si>
    <t>Example: If used on June 15, 2026, the cell would contain 15-Jun-2026 (format may vary depending on your spreadsheet settings).</t>
  </si>
  <si>
    <t>STEP BY STEP PROCEDURE IN EXCEL</t>
  </si>
  <si>
    <t>STEP 1: select the quantity column</t>
  </si>
  <si>
    <t>* highlight the cells under the quantity column (for example f14:f22)</t>
  </si>
  <si>
    <t>STEP 2 : OPEN DATA VALIDATION</t>
  </si>
  <si>
    <t>o</t>
  </si>
  <si>
    <t>* Go to the data tab on the ribbon</t>
  </si>
  <si>
    <t>* click data validation in the data tools group</t>
  </si>
  <si>
    <t>STEP 3: SET VALIDATION CRITERIA</t>
  </si>
  <si>
    <t>* IN THE SETTINGS TAB:</t>
  </si>
  <si>
    <t>ALLOW: whole number</t>
  </si>
  <si>
    <t>DATA: BETWEEN</t>
  </si>
  <si>
    <t>MINIMUM: 1</t>
  </si>
  <si>
    <t>MAXIMUM: 10</t>
  </si>
  <si>
    <t>STEP 4: CREATE THE INPUT MESSAGE</t>
  </si>
  <si>
    <t>* CLICK THE INPUT MASSAGE TAB</t>
  </si>
  <si>
    <t xml:space="preserve">* CHECK SHOW INPU MESSAGE WHEN CELL IS SELECTED </t>
  </si>
  <si>
    <t>* ENTER</t>
  </si>
  <si>
    <t>TITLE: quantity entry</t>
  </si>
  <si>
    <t>INPUT MESSAGE: please enter a whole number between 1 and 10</t>
  </si>
  <si>
    <t>STEP 5: Create the error alert tab</t>
  </si>
  <si>
    <t>* click the error alert tab</t>
  </si>
  <si>
    <t>* check show error alert after invalid data in entered</t>
  </si>
  <si>
    <t>*style : stop</t>
  </si>
  <si>
    <t>* Enter:</t>
  </si>
  <si>
    <t xml:space="preserve">        * Title: invalid input</t>
  </si>
  <si>
    <t xml:space="preserve">        * ERROR MEESAGE: Invalid input! The quantity must be a whole number between 1 and 10</t>
  </si>
  <si>
    <t>STEP 6: Save the validation Rule</t>
  </si>
  <si>
    <t>* click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</si>
</sst>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16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2"/>
      <color theme="1"/>
      <name val="Calibri"/>
    </font>
    <font>
      <sz val="11"/>
      <color theme="1"/>
      <name val="Calibri"/>
    </font>
    <font>
      <b/>
      <sz val="13"/>
      <color theme="1"/>
      <name val="Calibri"/>
    </font>
    <font>
      <sz val="11"/>
      <color rgb="FFFFFFFF"/>
      <name val="Calibri"/>
      <scheme val="minor"/>
    </font>
    <font>
      <b/>
      <sz val="11"/>
      <color rgb="FFFFFFFF"/>
      <name val="Calibri"/>
    </font>
    <font>
      <sz val="11"/>
      <color rgb="FFFF0000"/>
      <name val="Calibri"/>
      <scheme val="minor"/>
    </font>
    <font>
      <b/>
      <sz val="11"/>
      <color theme="1"/>
      <name val="Calibri"/>
      <scheme val="minor"/>
    </font>
    <font>
      <sz val="12"/>
      <color theme="1"/>
      <name val="Aptos Narrow"/>
    </font>
    <font>
      <b/>
      <sz val="10"/>
      <color theme="1"/>
      <name val="Arial Unicode MS"/>
    </font>
    <font>
      <sz val="10"/>
      <color theme="1"/>
      <name val="Arial Unicode MS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 applyFont="1" applyAlignment="1"/>
    <xf numFmtId="0" fontId="2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3" fillId="2" borderId="0" xfId="0" applyFont="1" applyFill="1"/>
    <xf numFmtId="0" fontId="7" fillId="0" borderId="0" xfId="0" applyFont="1"/>
    <xf numFmtId="0" fontId="3" fillId="0" borderId="0" xfId="0" applyFont="1"/>
    <xf numFmtId="14" fontId="5" fillId="0" borderId="0" xfId="0" applyNumberFormat="1" applyFont="1"/>
    <xf numFmtId="0" fontId="8" fillId="0" borderId="0" xfId="0" applyFo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3" fillId="0" borderId="0" xfId="0" applyFont="1" applyAlignment="1"/>
    <xf numFmtId="0" fontId="9" fillId="2" borderId="0" xfId="0" applyFont="1" applyFill="1"/>
    <xf numFmtId="0" fontId="10" fillId="0" borderId="0" xfId="0" applyFont="1" applyAlignment="1"/>
    <xf numFmtId="22" fontId="5" fillId="0" borderId="0" xfId="0" applyNumberFormat="1" applyFont="1"/>
    <xf numFmtId="164" fontId="3" fillId="0" borderId="0" xfId="0" applyNumberFormat="1" applyFont="1" applyAlignment="1"/>
    <xf numFmtId="0" fontId="10" fillId="0" borderId="0" xfId="0" applyFont="1"/>
    <xf numFmtId="14" fontId="3" fillId="0" borderId="0" xfId="0" applyNumberFormat="1" applyFont="1"/>
    <xf numFmtId="14" fontId="3" fillId="0" borderId="0" xfId="0" applyNumberFormat="1" applyFont="1" applyAlignment="1"/>
    <xf numFmtId="0" fontId="14" fillId="0" borderId="0" xfId="0" applyFont="1" applyAlignment="1"/>
    <xf numFmtId="0" fontId="1" fillId="0" borderId="0" xfId="0" applyFont="1" applyAlignment="1"/>
    <xf numFmtId="0" fontId="15" fillId="2" borderId="0" xfId="0" applyFont="1" applyFill="1"/>
  </cellXfs>
  <cellStyles count="1">
    <cellStyle name="Normal" xfId="0" builtinId="0"/>
  </cellStyles>
  <dxfs count="9"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3">
    <tableStyle name="Sheet2-style" pivot="0" count="3">
      <tableStyleElement type="headerRow" dxfId="8"/>
      <tableStyleElement type="firstRowStripe" dxfId="7"/>
      <tableStyleElement type="secondRowStripe" dxfId="6"/>
    </tableStyle>
    <tableStyle name="Sheet2-style 2" pivot="0" count="3">
      <tableStyleElement type="headerRow" dxfId="5"/>
      <tableStyleElement type="firstRowStripe" dxfId="4"/>
      <tableStyleElement type="secondRowStripe" dxfId="3"/>
    </tableStyle>
    <tableStyle name="Sheet5-style" pivot="0" count="3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1" name="Table_1" displayName="Table_1" ref="C5:E8">
  <tableColumns count="3">
    <tableColumn id="1" name="Employee"/>
    <tableColumn id="2" name="Department"/>
    <tableColumn id="3" name="Salary"/>
  </tableColumns>
  <tableStyleInfo name="Sheet2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K13:M16">
  <tableColumns count="3">
    <tableColumn id="1" name="Employee"/>
    <tableColumn id="2" name="Department2"/>
    <tableColumn id="3" name="Salary"/>
  </tableColumns>
  <tableStyleInfo name="Sheet2-style 2" showFirstColumn="1" showLastColumn="1" showRowStripes="1" showColumnStripes="0"/>
</table>
</file>

<file path=xl/tables/table3.xml><?xml version="1.0" encoding="utf-8"?>
<table xmlns="http://schemas.openxmlformats.org/spreadsheetml/2006/main" id="3" name="Table_3" displayName="Table_3" ref="C13:G22">
  <tableColumns count="5">
    <tableColumn id="1" name="Customer Name"/>
    <tableColumn id="2" name="Product Name"/>
    <tableColumn id="3" name="Category"/>
    <tableColumn id="4" name="Quantity"/>
    <tableColumn id="5" name="Unit Price ($)"/>
  </tableColumns>
  <tableStyleInfo name="Sheet5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000"/>
  <sheetViews>
    <sheetView topLeftCell="A43" workbookViewId="0"/>
  </sheetViews>
  <sheetFormatPr defaultColWidth="14.42578125" defaultRowHeight="15" customHeight="1"/>
  <cols>
    <col min="1" max="26" width="8.7109375" customWidth="1"/>
  </cols>
  <sheetData>
    <row r="1" spans="2:9">
      <c r="B1" s="1" t="s">
        <v>0</v>
      </c>
      <c r="C1" s="1"/>
      <c r="D1" s="1"/>
      <c r="E1" s="1"/>
      <c r="F1" s="1"/>
      <c r="G1" s="1"/>
      <c r="H1" s="1"/>
      <c r="I1" s="1"/>
    </row>
    <row r="2" spans="2:9">
      <c r="B2" s="1" t="s">
        <v>1</v>
      </c>
      <c r="C2" s="1"/>
      <c r="D2" s="1"/>
      <c r="E2" s="1"/>
      <c r="F2" s="1"/>
      <c r="G2" s="1"/>
      <c r="H2" s="1"/>
      <c r="I2" s="1"/>
    </row>
    <row r="3" spans="2:9">
      <c r="B3" s="1" t="s">
        <v>2</v>
      </c>
      <c r="C3" s="1"/>
      <c r="D3" s="1"/>
      <c r="E3" s="1"/>
      <c r="F3" s="1"/>
      <c r="G3" s="1"/>
      <c r="H3" s="1"/>
      <c r="I3" s="1"/>
    </row>
    <row r="5" spans="2:9">
      <c r="B5" s="2" t="s">
        <v>3</v>
      </c>
      <c r="C5" s="3" t="s">
        <v>4</v>
      </c>
    </row>
    <row r="6" spans="2:9">
      <c r="C6" s="3" t="s">
        <v>5</v>
      </c>
    </row>
    <row r="7" spans="2:9" ht="15.75">
      <c r="D7" s="4" t="s">
        <v>6</v>
      </c>
      <c r="E7" s="4"/>
      <c r="F7" s="4"/>
      <c r="G7" s="4"/>
      <c r="H7" s="4"/>
    </row>
    <row r="8" spans="2:9" ht="15.75">
      <c r="D8" s="4" t="s">
        <v>7</v>
      </c>
      <c r="E8" s="4"/>
      <c r="F8" s="4"/>
      <c r="G8" s="4"/>
      <c r="H8" s="4"/>
    </row>
    <row r="9" spans="2:9" ht="15.75">
      <c r="D9" s="4" t="s">
        <v>8</v>
      </c>
      <c r="E9" s="4"/>
      <c r="F9" s="4"/>
      <c r="G9" s="4"/>
      <c r="H9" s="4"/>
    </row>
    <row r="10" spans="2:9" ht="15.75">
      <c r="D10" s="4" t="s">
        <v>9</v>
      </c>
      <c r="E10" s="4"/>
      <c r="F10" s="4"/>
      <c r="G10" s="4"/>
      <c r="H10" s="4"/>
    </row>
    <row r="12" spans="2:9">
      <c r="C12" s="2" t="s">
        <v>10</v>
      </c>
    </row>
    <row r="14" spans="2:9">
      <c r="C14" s="2" t="s">
        <v>11</v>
      </c>
    </row>
    <row r="15" spans="2:9">
      <c r="C15" s="3" t="s">
        <v>12</v>
      </c>
    </row>
    <row r="16" spans="2:9">
      <c r="C16" s="2" t="s">
        <v>13</v>
      </c>
    </row>
    <row r="17" spans="3:8">
      <c r="C17" s="3" t="s">
        <v>14</v>
      </c>
    </row>
    <row r="18" spans="3:8">
      <c r="C18" s="2" t="s">
        <v>15</v>
      </c>
    </row>
    <row r="19" spans="3:8">
      <c r="C19" s="3" t="s">
        <v>16</v>
      </c>
    </row>
    <row r="20" spans="3:8">
      <c r="C20" s="2" t="s">
        <v>17</v>
      </c>
    </row>
    <row r="21" spans="3:8" ht="15.75" customHeight="1">
      <c r="C21" s="3" t="s">
        <v>18</v>
      </c>
    </row>
    <row r="22" spans="3:8" ht="15.75" customHeight="1">
      <c r="C22" s="2" t="s">
        <v>19</v>
      </c>
    </row>
    <row r="23" spans="3:8" ht="15.75" customHeight="1">
      <c r="C23" s="3" t="s">
        <v>20</v>
      </c>
    </row>
    <row r="24" spans="3:8" ht="15.75" customHeight="1">
      <c r="C24" s="2" t="s">
        <v>21</v>
      </c>
    </row>
    <row r="25" spans="3:8" ht="15.75" customHeight="1">
      <c r="C25" s="3" t="s">
        <v>22</v>
      </c>
    </row>
    <row r="26" spans="3:8" ht="15.75" customHeight="1">
      <c r="C26" s="2" t="s">
        <v>23</v>
      </c>
    </row>
    <row r="27" spans="3:8" ht="15.75" customHeight="1">
      <c r="C27" s="3" t="s">
        <v>24</v>
      </c>
    </row>
    <row r="28" spans="3:8" ht="15.75" customHeight="1"/>
    <row r="29" spans="3:8" ht="15.75" customHeight="1">
      <c r="C29" s="2" t="s">
        <v>25</v>
      </c>
      <c r="D29" s="2"/>
      <c r="E29" s="2"/>
      <c r="F29" s="2"/>
      <c r="G29" s="2"/>
      <c r="H29" s="2"/>
    </row>
    <row r="30" spans="3:8" ht="15.75" customHeight="1">
      <c r="C30" s="3" t="s">
        <v>26</v>
      </c>
    </row>
    <row r="31" spans="3:8" ht="15.75" customHeight="1">
      <c r="C31" s="5" t="s">
        <v>27</v>
      </c>
    </row>
    <row r="32" spans="3:8" ht="15.75" customHeight="1">
      <c r="C32" s="6" t="s">
        <v>28</v>
      </c>
    </row>
    <row r="33" spans="3:3" ht="15.75" customHeight="1">
      <c r="C33" s="6" t="s">
        <v>29</v>
      </c>
    </row>
    <row r="34" spans="3:3" ht="15.75" customHeight="1">
      <c r="C34" s="5" t="s">
        <v>30</v>
      </c>
    </row>
    <row r="35" spans="3:3" ht="15.75" customHeight="1">
      <c r="C35" s="6" t="s">
        <v>31</v>
      </c>
    </row>
    <row r="36" spans="3:3" ht="15.75" customHeight="1">
      <c r="C36" s="6" t="s">
        <v>32</v>
      </c>
    </row>
    <row r="37" spans="3:3" ht="15.75" customHeight="1">
      <c r="C37" s="5" t="s">
        <v>33</v>
      </c>
    </row>
    <row r="38" spans="3:3" ht="15.75" customHeight="1">
      <c r="C38" s="6" t="s">
        <v>34</v>
      </c>
    </row>
    <row r="39" spans="3:3" ht="15.75" customHeight="1">
      <c r="C39" s="6" t="s">
        <v>35</v>
      </c>
    </row>
    <row r="40" spans="3:3" ht="15.75" customHeight="1">
      <c r="C40" s="5" t="s">
        <v>36</v>
      </c>
    </row>
    <row r="41" spans="3:3" ht="15.75" customHeight="1">
      <c r="C41" s="6" t="s">
        <v>37</v>
      </c>
    </row>
    <row r="42" spans="3:3" ht="15.75" customHeight="1">
      <c r="C42" s="6" t="s">
        <v>38</v>
      </c>
    </row>
    <row r="43" spans="3:3" ht="15.75" customHeight="1">
      <c r="C43" s="5" t="s">
        <v>39</v>
      </c>
    </row>
    <row r="44" spans="3:3" ht="15.75" customHeight="1">
      <c r="C44" s="6" t="s">
        <v>40</v>
      </c>
    </row>
    <row r="45" spans="3:3" ht="15.75" customHeight="1">
      <c r="C45" s="6" t="s">
        <v>41</v>
      </c>
    </row>
    <row r="46" spans="3:3" ht="15.75" customHeight="1">
      <c r="C46" s="5" t="s">
        <v>42</v>
      </c>
    </row>
    <row r="47" spans="3:3" ht="15.75" customHeight="1">
      <c r="C47" s="6" t="s">
        <v>43</v>
      </c>
    </row>
    <row r="48" spans="3:3" ht="15.75" customHeight="1">
      <c r="C48" s="6" t="s">
        <v>44</v>
      </c>
    </row>
    <row r="49" spans="3:3" ht="15.75" customHeight="1">
      <c r="C49" s="5" t="s">
        <v>45</v>
      </c>
    </row>
    <row r="50" spans="3:3" ht="15.75" customHeight="1">
      <c r="C50" s="6" t="s">
        <v>46</v>
      </c>
    </row>
    <row r="51" spans="3:3" ht="15.75" customHeight="1">
      <c r="C51" s="6" t="s">
        <v>47</v>
      </c>
    </row>
    <row r="52" spans="3:3" ht="15.75" customHeight="1">
      <c r="C52" s="5" t="s">
        <v>48</v>
      </c>
    </row>
    <row r="53" spans="3:3" ht="15.75" customHeight="1">
      <c r="C53" s="6" t="s">
        <v>49</v>
      </c>
    </row>
    <row r="54" spans="3:3" ht="15.75" customHeight="1">
      <c r="C54" s="6" t="s">
        <v>50</v>
      </c>
    </row>
    <row r="55" spans="3:3" ht="15.75" customHeight="1">
      <c r="C55" s="5" t="s">
        <v>51</v>
      </c>
    </row>
    <row r="56" spans="3:3" ht="15.75" customHeight="1">
      <c r="C56" s="6" t="s">
        <v>52</v>
      </c>
    </row>
    <row r="57" spans="3:3" ht="15.75" customHeight="1">
      <c r="C57" s="6" t="s">
        <v>53</v>
      </c>
    </row>
    <row r="58" spans="3:3" ht="15.75" customHeight="1">
      <c r="C58" s="5" t="s">
        <v>54</v>
      </c>
    </row>
    <row r="59" spans="3:3" ht="15.75" customHeight="1">
      <c r="C59" s="6" t="s">
        <v>55</v>
      </c>
    </row>
    <row r="60" spans="3:3" ht="15.75" customHeight="1">
      <c r="C60" s="6" t="s">
        <v>56</v>
      </c>
    </row>
    <row r="61" spans="3:3" ht="15.75" customHeight="1"/>
    <row r="62" spans="3:3" ht="15.75" customHeight="1">
      <c r="C62" s="7"/>
    </row>
    <row r="63" spans="3:3" ht="15.75" customHeight="1"/>
    <row r="64" spans="3:3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1000"/>
  <sheetViews>
    <sheetView topLeftCell="A10" workbookViewId="0"/>
  </sheetViews>
  <sheetFormatPr defaultColWidth="14.42578125" defaultRowHeight="15" customHeight="1"/>
  <cols>
    <col min="1" max="1" width="8.7109375" customWidth="1"/>
    <col min="2" max="5" width="11" customWidth="1"/>
    <col min="6" max="10" width="8.7109375" customWidth="1"/>
    <col min="11" max="11" width="12.28515625" customWidth="1"/>
    <col min="12" max="12" width="13.7109375" customWidth="1"/>
    <col min="13" max="13" width="12.42578125" customWidth="1"/>
    <col min="14" max="26" width="8.7109375" customWidth="1"/>
  </cols>
  <sheetData>
    <row r="3" spans="1:14">
      <c r="A3" s="8"/>
      <c r="B3" s="1" t="s">
        <v>57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8"/>
    </row>
    <row r="5" spans="1:14">
      <c r="C5" s="9" t="s">
        <v>58</v>
      </c>
      <c r="D5" s="9" t="s">
        <v>59</v>
      </c>
      <c r="E5" s="9" t="s">
        <v>60</v>
      </c>
    </row>
    <row r="6" spans="1:14">
      <c r="C6" s="10" t="s">
        <v>61</v>
      </c>
      <c r="D6" s="10" t="s">
        <v>62</v>
      </c>
      <c r="E6" s="10">
        <v>5000</v>
      </c>
    </row>
    <row r="7" spans="1:14">
      <c r="C7" s="10" t="s">
        <v>63</v>
      </c>
      <c r="D7" s="10" t="s">
        <v>64</v>
      </c>
      <c r="E7" s="10">
        <v>4000</v>
      </c>
    </row>
    <row r="8" spans="1:14">
      <c r="C8" s="10" t="s">
        <v>65</v>
      </c>
      <c r="D8" s="10" t="s">
        <v>62</v>
      </c>
      <c r="E8" s="10">
        <v>2500</v>
      </c>
    </row>
    <row r="10" spans="1:14">
      <c r="B10" s="2" t="s">
        <v>66</v>
      </c>
      <c r="C10" s="2" t="s">
        <v>67</v>
      </c>
      <c r="D10" s="2"/>
      <c r="E10" s="2"/>
      <c r="F10" s="2"/>
      <c r="G10" s="2"/>
      <c r="H10" s="2"/>
      <c r="I10" s="2"/>
      <c r="J10" s="2"/>
      <c r="K10" s="2"/>
      <c r="L10" s="2"/>
      <c r="M10" s="2"/>
    </row>
    <row r="12" spans="1:14" ht="17.25">
      <c r="C12" s="7" t="s">
        <v>68</v>
      </c>
    </row>
    <row r="13" spans="1:14">
      <c r="C13" s="6"/>
      <c r="K13" s="10" t="s">
        <v>58</v>
      </c>
      <c r="L13" s="10" t="s">
        <v>69</v>
      </c>
      <c r="M13" s="10" t="s">
        <v>60</v>
      </c>
    </row>
    <row r="14" spans="1:14">
      <c r="C14" s="5" t="s">
        <v>70</v>
      </c>
      <c r="K14" s="10" t="s">
        <v>71</v>
      </c>
      <c r="L14" s="10" t="s">
        <v>64</v>
      </c>
      <c r="M14" s="10">
        <v>5000</v>
      </c>
    </row>
    <row r="15" spans="1:14">
      <c r="C15" s="6" t="s">
        <v>72</v>
      </c>
      <c r="K15" s="10" t="s">
        <v>73</v>
      </c>
      <c r="L15" s="10" t="s">
        <v>62</v>
      </c>
      <c r="M15" s="10">
        <v>4000</v>
      </c>
    </row>
    <row r="16" spans="1:14">
      <c r="C16" s="5" t="s">
        <v>74</v>
      </c>
      <c r="K16" s="10" t="s">
        <v>65</v>
      </c>
      <c r="L16" s="10" t="s">
        <v>62</v>
      </c>
      <c r="M16" s="10">
        <v>2500</v>
      </c>
    </row>
    <row r="17" spans="3:3">
      <c r="C17" s="6" t="s">
        <v>75</v>
      </c>
    </row>
    <row r="18" spans="3:3">
      <c r="C18" s="5" t="s">
        <v>76</v>
      </c>
    </row>
    <row r="19" spans="3:3">
      <c r="C19" s="6" t="s">
        <v>77</v>
      </c>
    </row>
    <row r="20" spans="3:3">
      <c r="C20" s="6" t="s">
        <v>78</v>
      </c>
    </row>
    <row r="21" spans="3:3" ht="15.75" customHeight="1">
      <c r="C21" s="5" t="s">
        <v>79</v>
      </c>
    </row>
    <row r="22" spans="3:3" ht="15.75" customHeight="1">
      <c r="C22" s="6" t="s">
        <v>80</v>
      </c>
    </row>
    <row r="23" spans="3:3" ht="15.75" customHeight="1">
      <c r="C23" s="6" t="s">
        <v>81</v>
      </c>
    </row>
    <row r="24" spans="3:3" ht="15.75" customHeight="1">
      <c r="C24" s="6" t="s">
        <v>82</v>
      </c>
    </row>
    <row r="25" spans="3:3" ht="15.75" customHeight="1">
      <c r="C25" s="5" t="s">
        <v>83</v>
      </c>
    </row>
    <row r="26" spans="3:3" ht="15.75" customHeight="1">
      <c r="C26" s="6" t="s">
        <v>84</v>
      </c>
    </row>
    <row r="27" spans="3:3" ht="15.75" customHeight="1">
      <c r="C27" s="5" t="s">
        <v>85</v>
      </c>
    </row>
    <row r="28" spans="3:3" ht="15.75" customHeight="1">
      <c r="C28" s="6" t="s">
        <v>86</v>
      </c>
    </row>
    <row r="29" spans="3:3" ht="15.75" customHeight="1">
      <c r="C29" s="6" t="s">
        <v>87</v>
      </c>
    </row>
    <row r="30" spans="3:3" ht="15.75" customHeight="1"/>
    <row r="31" spans="3:3" ht="15.75" customHeight="1"/>
    <row r="32" spans="3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1000"/>
  <sheetViews>
    <sheetView workbookViewId="0"/>
  </sheetViews>
  <sheetFormatPr defaultColWidth="14.42578125" defaultRowHeight="15" customHeight="1"/>
  <cols>
    <col min="1" max="26" width="8.7109375" customWidth="1"/>
  </cols>
  <sheetData>
    <row r="3" spans="1:11">
      <c r="A3" s="8"/>
      <c r="B3" s="1" t="s">
        <v>88</v>
      </c>
      <c r="C3" s="1"/>
      <c r="D3" s="1"/>
      <c r="E3" s="1"/>
      <c r="F3" s="1"/>
      <c r="G3" s="1"/>
      <c r="H3" s="1"/>
      <c r="I3" s="1"/>
      <c r="J3" s="1"/>
      <c r="K3" s="1"/>
    </row>
    <row r="5" spans="1:11" ht="17.25">
      <c r="B5" s="2" t="s">
        <v>66</v>
      </c>
      <c r="C5" s="7" t="s">
        <v>89</v>
      </c>
    </row>
    <row r="7" spans="1:11">
      <c r="C7" s="2" t="s">
        <v>90</v>
      </c>
    </row>
    <row r="8" spans="1:11">
      <c r="C8" s="3" t="s">
        <v>91</v>
      </c>
      <c r="D8" s="3" t="e">
        <f>TRIM(text)</f>
        <v>#NAME?</v>
      </c>
    </row>
    <row r="9" spans="1:11">
      <c r="C9" s="2" t="s">
        <v>92</v>
      </c>
      <c r="D9" s="3" t="s">
        <v>93</v>
      </c>
      <c r="G9" s="3" t="str">
        <f>TRIM(D9)</f>
        <v>" harsh pandey "</v>
      </c>
    </row>
    <row r="11" spans="1:11">
      <c r="C11" s="2" t="s">
        <v>94</v>
      </c>
      <c r="D11" s="2"/>
    </row>
    <row r="13" spans="1:11">
      <c r="C13" s="3" t="s">
        <v>95</v>
      </c>
    </row>
    <row r="14" spans="1:11">
      <c r="C14" s="3" t="s">
        <v>96</v>
      </c>
    </row>
    <row r="16" spans="1:11" ht="17.25">
      <c r="C16" s="7" t="s">
        <v>97</v>
      </c>
    </row>
    <row r="18" spans="3:6">
      <c r="C18" s="2" t="s">
        <v>98</v>
      </c>
    </row>
    <row r="20" spans="3:6">
      <c r="C20" s="2" t="s">
        <v>99</v>
      </c>
      <c r="D20" s="3" t="e">
        <f>LEFT(text, num_chars)</f>
        <v>#NAME?</v>
      </c>
    </row>
    <row r="21" spans="3:6" ht="15.75" customHeight="1">
      <c r="C21" s="2" t="s">
        <v>100</v>
      </c>
      <c r="D21" s="3" t="s">
        <v>101</v>
      </c>
      <c r="F21" s="3" t="str">
        <f>LEFT(D21,4)</f>
        <v>hars</v>
      </c>
    </row>
    <row r="22" spans="3:6" ht="15.75" customHeight="1"/>
    <row r="23" spans="3:6" ht="15.75" customHeight="1">
      <c r="C23" s="2" t="s">
        <v>94</v>
      </c>
    </row>
    <row r="24" spans="3:6" ht="15.75" customHeight="1">
      <c r="C24" s="6"/>
    </row>
    <row r="25" spans="3:6" ht="15.75" customHeight="1">
      <c r="C25" s="6" t="s">
        <v>102</v>
      </c>
    </row>
    <row r="26" spans="3:6" ht="15.75" customHeight="1">
      <c r="C26" s="6" t="s">
        <v>103</v>
      </c>
    </row>
    <row r="27" spans="3:6" ht="15.75" customHeight="1"/>
    <row r="28" spans="3:6" ht="15.75" customHeight="1">
      <c r="C28" s="7" t="s">
        <v>104</v>
      </c>
    </row>
    <row r="29" spans="3:6" ht="15.75" customHeight="1"/>
    <row r="30" spans="3:6" ht="15.75" customHeight="1">
      <c r="C30" s="2" t="s">
        <v>105</v>
      </c>
    </row>
    <row r="31" spans="3:6" ht="15.75" customHeight="1"/>
    <row r="32" spans="3:6" ht="15.75" customHeight="1">
      <c r="C32" s="2" t="s">
        <v>99</v>
      </c>
      <c r="D32" s="3" t="e">
        <f>RIGHT(text, num_chars)</f>
        <v>#NAME?</v>
      </c>
    </row>
    <row r="33" spans="3:7" ht="15.75" customHeight="1">
      <c r="C33" s="2" t="s">
        <v>100</v>
      </c>
      <c r="D33" s="3" t="s">
        <v>101</v>
      </c>
      <c r="F33" s="3" t="str">
        <f>RIGHT(D33,5)</f>
        <v>12345</v>
      </c>
    </row>
    <row r="34" spans="3:7" ht="15.75" customHeight="1"/>
    <row r="35" spans="3:7" ht="15.75" customHeight="1">
      <c r="C35" s="2" t="s">
        <v>94</v>
      </c>
      <c r="D35" s="2"/>
    </row>
    <row r="36" spans="3:7" ht="15.75" customHeight="1"/>
    <row r="37" spans="3:7" ht="15.75" customHeight="1">
      <c r="C37" s="3" t="s">
        <v>106</v>
      </c>
    </row>
    <row r="38" spans="3:7" ht="15.75" customHeight="1">
      <c r="C38" s="3" t="s">
        <v>107</v>
      </c>
    </row>
    <row r="39" spans="3:7" ht="15.75" customHeight="1"/>
    <row r="40" spans="3:7" ht="15.75" customHeight="1">
      <c r="C40" s="7" t="s">
        <v>108</v>
      </c>
    </row>
    <row r="41" spans="3:7" ht="15.75" customHeight="1"/>
    <row r="42" spans="3:7" ht="15.75" customHeight="1">
      <c r="C42" s="2" t="s">
        <v>109</v>
      </c>
    </row>
    <row r="43" spans="3:7" ht="15.75" customHeight="1"/>
    <row r="44" spans="3:7" ht="15.75" customHeight="1">
      <c r="C44" s="2" t="s">
        <v>99</v>
      </c>
      <c r="D44" s="3" t="e">
        <f>MID(text, start_num, num_chars)</f>
        <v>#NAME?</v>
      </c>
    </row>
    <row r="45" spans="3:7" ht="15.75" customHeight="1">
      <c r="C45" s="3" t="s">
        <v>110</v>
      </c>
      <c r="D45" s="3" t="s">
        <v>111</v>
      </c>
      <c r="G45" s="3" t="str">
        <f>MID(D45,4,4)</f>
        <v>sh-1</v>
      </c>
    </row>
    <row r="46" spans="3:7" ht="15.75" customHeight="1"/>
    <row r="47" spans="3:7" ht="15.75" customHeight="1">
      <c r="C47" s="2" t="s">
        <v>94</v>
      </c>
    </row>
    <row r="48" spans="3:7" ht="15.75" customHeight="1">
      <c r="C48" s="6"/>
    </row>
    <row r="49" spans="3:9" ht="15.75" customHeight="1">
      <c r="C49" s="6" t="s">
        <v>112</v>
      </c>
    </row>
    <row r="50" spans="3:9" ht="15.75" customHeight="1">
      <c r="C50" s="6" t="s">
        <v>113</v>
      </c>
    </row>
    <row r="51" spans="3:9" ht="15.75" customHeight="1"/>
    <row r="52" spans="3:9" ht="15.75" customHeight="1">
      <c r="C52" s="7" t="s">
        <v>114</v>
      </c>
    </row>
    <row r="53" spans="3:9" ht="15.75" customHeight="1"/>
    <row r="54" spans="3:9" ht="15.75" customHeight="1">
      <c r="C54" s="2" t="s">
        <v>115</v>
      </c>
    </row>
    <row r="55" spans="3:9" ht="15.75" customHeight="1"/>
    <row r="56" spans="3:9" ht="15.75" customHeight="1">
      <c r="C56" s="2" t="s">
        <v>99</v>
      </c>
      <c r="D56" s="3" t="s">
        <v>116</v>
      </c>
    </row>
    <row r="57" spans="3:9" ht="15.75" customHeight="1"/>
    <row r="58" spans="3:9" ht="15.75" customHeight="1">
      <c r="C58" s="2" t="s">
        <v>117</v>
      </c>
      <c r="E58" s="3" t="s">
        <v>118</v>
      </c>
      <c r="G58" s="3" t="s">
        <v>119</v>
      </c>
      <c r="I58" s="3" t="s">
        <v>120</v>
      </c>
    </row>
    <row r="59" spans="3:9" ht="15.75" customHeight="1">
      <c r="E59" s="3" t="s">
        <v>121</v>
      </c>
      <c r="G59" s="3" t="s">
        <v>122</v>
      </c>
      <c r="I59" s="3" t="e">
        <f>CONCAT</f>
        <v>#NAME?</v>
      </c>
    </row>
    <row r="60" spans="3:9" ht="15.75" customHeight="1">
      <c r="C60" s="2" t="s">
        <v>94</v>
      </c>
    </row>
    <row r="61" spans="3:9" ht="15.75" customHeight="1">
      <c r="C61" s="6"/>
    </row>
    <row r="62" spans="3:9" ht="15.75" customHeight="1">
      <c r="C62" s="6" t="s">
        <v>123</v>
      </c>
    </row>
    <row r="63" spans="3:9" ht="15.75" customHeight="1">
      <c r="C63" s="6" t="s">
        <v>124</v>
      </c>
    </row>
    <row r="64" spans="3:9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H1000"/>
  <sheetViews>
    <sheetView workbookViewId="0"/>
  </sheetViews>
  <sheetFormatPr defaultColWidth="14.42578125" defaultRowHeight="15" customHeight="1"/>
  <cols>
    <col min="1" max="5" width="8.7109375" customWidth="1"/>
    <col min="6" max="6" width="9.7109375" customWidth="1"/>
    <col min="7" max="26" width="8.7109375" customWidth="1"/>
  </cols>
  <sheetData>
    <row r="3" spans="2:8">
      <c r="B3" s="1" t="s">
        <v>125</v>
      </c>
      <c r="C3" s="1"/>
      <c r="D3" s="1"/>
      <c r="E3" s="1"/>
      <c r="F3" s="1"/>
      <c r="G3" s="1"/>
      <c r="H3" s="1"/>
    </row>
    <row r="5" spans="2:8" ht="17.25">
      <c r="B5" s="3" t="s">
        <v>126</v>
      </c>
      <c r="C5" s="7" t="s">
        <v>127</v>
      </c>
    </row>
    <row r="7" spans="2:8">
      <c r="C7" s="3" t="s">
        <v>128</v>
      </c>
    </row>
    <row r="9" spans="2:8" ht="17.25">
      <c r="C9" s="7" t="s">
        <v>129</v>
      </c>
    </row>
    <row r="11" spans="2:8">
      <c r="C11" s="2" t="s">
        <v>130</v>
      </c>
    </row>
    <row r="13" spans="2:8">
      <c r="C13" s="3" t="s">
        <v>131</v>
      </c>
      <c r="F13" s="11">
        <f ca="1">TODAY()</f>
        <v>46188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P1003"/>
  <sheetViews>
    <sheetView tabSelected="1" topLeftCell="A10" workbookViewId="0">
      <selection activeCell="C56" sqref="C56"/>
    </sheetView>
  </sheetViews>
  <sheetFormatPr defaultColWidth="14.42578125" defaultRowHeight="15" customHeight="1"/>
  <cols>
    <col min="1" max="2" width="8.7109375" customWidth="1"/>
    <col min="3" max="3" width="15.5703125" customWidth="1"/>
    <col min="4" max="4" width="13.5703125" customWidth="1"/>
    <col min="5" max="5" width="11.5703125" customWidth="1"/>
    <col min="6" max="6" width="11" customWidth="1"/>
    <col min="7" max="7" width="12.7109375" customWidth="1"/>
    <col min="8" max="11" width="11" customWidth="1"/>
    <col min="12" max="26" width="8.7109375" customWidth="1"/>
  </cols>
  <sheetData>
    <row r="4" spans="2:16">
      <c r="B4" s="1" t="s">
        <v>132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2"/>
    </row>
    <row r="5" spans="2:16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2"/>
    </row>
    <row r="6" spans="2:16">
      <c r="B6" s="1"/>
      <c r="C6" s="1" t="s">
        <v>133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2"/>
    </row>
    <row r="7" spans="2:16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2"/>
    </row>
    <row r="8" spans="2:16">
      <c r="B8" s="1"/>
      <c r="C8" s="1" t="s">
        <v>134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2"/>
    </row>
    <row r="9" spans="2:16">
      <c r="B9" s="1"/>
      <c r="C9" s="1" t="s">
        <v>135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2"/>
    </row>
    <row r="10" spans="2:16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2"/>
    </row>
    <row r="11" spans="2:16">
      <c r="B11" s="1"/>
      <c r="C11" s="1" t="s">
        <v>136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2"/>
    </row>
    <row r="13" spans="2:16">
      <c r="C13" s="12" t="s">
        <v>137</v>
      </c>
      <c r="D13" s="12" t="s">
        <v>138</v>
      </c>
      <c r="E13" s="12" t="s">
        <v>139</v>
      </c>
      <c r="F13" s="12" t="s">
        <v>140</v>
      </c>
      <c r="G13" s="12" t="s">
        <v>141</v>
      </c>
    </row>
    <row r="14" spans="2:16">
      <c r="C14" s="10" t="s">
        <v>142</v>
      </c>
      <c r="D14" s="10" t="s">
        <v>143</v>
      </c>
      <c r="E14" s="10" t="s">
        <v>144</v>
      </c>
      <c r="F14" s="10">
        <v>1</v>
      </c>
      <c r="G14" s="10">
        <v>81</v>
      </c>
    </row>
    <row r="15" spans="2:16">
      <c r="C15" s="10" t="s">
        <v>145</v>
      </c>
      <c r="D15" s="10" t="s">
        <v>146</v>
      </c>
      <c r="E15" s="10" t="s">
        <v>144</v>
      </c>
      <c r="F15" s="10">
        <v>2</v>
      </c>
      <c r="G15" s="10">
        <v>121</v>
      </c>
    </row>
    <row r="16" spans="2:16">
      <c r="C16" s="10" t="s">
        <v>147</v>
      </c>
      <c r="D16" s="10" t="s">
        <v>148</v>
      </c>
      <c r="E16" s="10" t="s">
        <v>149</v>
      </c>
      <c r="F16" s="10">
        <v>3</v>
      </c>
      <c r="G16" s="10">
        <v>239</v>
      </c>
    </row>
    <row r="17" spans="3:7">
      <c r="C17" s="10" t="s">
        <v>150</v>
      </c>
      <c r="D17" s="10" t="s">
        <v>143</v>
      </c>
      <c r="E17" s="10" t="s">
        <v>144</v>
      </c>
      <c r="F17" s="10">
        <v>8</v>
      </c>
      <c r="G17" s="10">
        <v>500</v>
      </c>
    </row>
    <row r="18" spans="3:7">
      <c r="C18" s="10" t="s">
        <v>151</v>
      </c>
      <c r="D18" s="10" t="s">
        <v>152</v>
      </c>
      <c r="E18" s="10" t="s">
        <v>153</v>
      </c>
      <c r="F18" s="10">
        <v>9</v>
      </c>
      <c r="G18" s="10">
        <v>423</v>
      </c>
    </row>
    <row r="19" spans="3:7">
      <c r="C19" s="10" t="s">
        <v>154</v>
      </c>
      <c r="D19" s="10" t="s">
        <v>155</v>
      </c>
      <c r="E19" s="10" t="s">
        <v>144</v>
      </c>
      <c r="F19" s="10">
        <v>7</v>
      </c>
      <c r="G19" s="10">
        <v>160</v>
      </c>
    </row>
    <row r="20" spans="3:7">
      <c r="C20" s="10" t="s">
        <v>156</v>
      </c>
      <c r="D20" s="10" t="s">
        <v>157</v>
      </c>
      <c r="E20" s="10" t="s">
        <v>144</v>
      </c>
      <c r="F20" s="10">
        <v>5</v>
      </c>
      <c r="G20" s="10">
        <v>348</v>
      </c>
    </row>
    <row r="21" spans="3:7" ht="15.75" customHeight="1">
      <c r="C21" s="10" t="s">
        <v>158</v>
      </c>
      <c r="D21" s="10" t="s">
        <v>157</v>
      </c>
      <c r="E21" s="10" t="s">
        <v>144</v>
      </c>
      <c r="F21" s="10">
        <v>4</v>
      </c>
      <c r="G21" s="10">
        <v>152</v>
      </c>
    </row>
    <row r="22" spans="3:7" ht="15.75" customHeight="1">
      <c r="C22" s="10" t="s">
        <v>159</v>
      </c>
      <c r="D22" s="10" t="s">
        <v>160</v>
      </c>
      <c r="E22" s="10" t="s">
        <v>153</v>
      </c>
      <c r="F22" s="10">
        <v>10</v>
      </c>
      <c r="G22" s="10">
        <v>369</v>
      </c>
    </row>
    <row r="23" spans="3:7" ht="15.75" customHeight="1"/>
    <row r="24" spans="3:7" ht="15.75" customHeight="1">
      <c r="C24" s="23" t="s">
        <v>231</v>
      </c>
    </row>
    <row r="25" spans="3:7" ht="15.75" customHeight="1">
      <c r="C25" s="23" t="s">
        <v>232</v>
      </c>
    </row>
    <row r="26" spans="3:7" ht="15.75" customHeight="1">
      <c r="C26" s="24" t="s">
        <v>233</v>
      </c>
    </row>
    <row r="27" spans="3:7" ht="15.75" customHeight="1">
      <c r="C27" s="24"/>
    </row>
    <row r="28" spans="3:7" ht="15.75" customHeight="1">
      <c r="C28" s="23" t="s">
        <v>234</v>
      </c>
      <c r="D28" s="23"/>
    </row>
    <row r="29" spans="3:7" ht="15.75" customHeight="1">
      <c r="C29" s="23" t="s">
        <v>236</v>
      </c>
    </row>
    <row r="30" spans="3:7" ht="15.75" customHeight="1">
      <c r="C30" s="23" t="s">
        <v>237</v>
      </c>
      <c r="D30" s="24" t="s">
        <v>235</v>
      </c>
    </row>
    <row r="31" spans="3:7" ht="15.75" customHeight="1">
      <c r="C31" s="23"/>
      <c r="D31" s="24"/>
    </row>
    <row r="32" spans="3:7" ht="15.75" customHeight="1">
      <c r="C32" s="23" t="s">
        <v>238</v>
      </c>
    </row>
    <row r="33" spans="3:4" ht="15.75" customHeight="1">
      <c r="C33" s="23" t="s">
        <v>239</v>
      </c>
    </row>
    <row r="34" spans="3:4" ht="15.75" customHeight="1">
      <c r="C34" s="23" t="s">
        <v>240</v>
      </c>
    </row>
    <row r="35" spans="3:4" ht="15.75" customHeight="1">
      <c r="C35" s="23" t="s">
        <v>241</v>
      </c>
    </row>
    <row r="36" spans="3:4" ht="15.75" customHeight="1">
      <c r="C36" s="23" t="s">
        <v>242</v>
      </c>
    </row>
    <row r="37" spans="3:4" ht="15.75" customHeight="1">
      <c r="C37" s="23" t="s">
        <v>243</v>
      </c>
    </row>
    <row r="38" spans="3:4" ht="15.75" customHeight="1">
      <c r="C38" s="23"/>
    </row>
    <row r="39" spans="3:4" ht="15.75" customHeight="1">
      <c r="C39" s="23" t="s">
        <v>244</v>
      </c>
    </row>
    <row r="40" spans="3:4" ht="15.75" customHeight="1">
      <c r="C40" s="24" t="s">
        <v>245</v>
      </c>
      <c r="D40" s="24"/>
    </row>
    <row r="41" spans="3:4" ht="15.75" customHeight="1">
      <c r="C41" s="23" t="s">
        <v>246</v>
      </c>
    </row>
    <row r="42" spans="3:4" ht="15.75" customHeight="1">
      <c r="C42" s="23" t="s">
        <v>247</v>
      </c>
    </row>
    <row r="43" spans="3:4" ht="15.75" customHeight="1">
      <c r="C43" s="23" t="s">
        <v>248</v>
      </c>
    </row>
    <row r="44" spans="3:4" ht="15.75" customHeight="1">
      <c r="C44" s="23" t="s">
        <v>249</v>
      </c>
    </row>
    <row r="45" spans="3:4" ht="15.75" customHeight="1"/>
    <row r="46" spans="3:4" ht="15.75" customHeight="1">
      <c r="C46" s="23" t="s">
        <v>250</v>
      </c>
    </row>
    <row r="47" spans="3:4" ht="15.75" customHeight="1">
      <c r="C47" s="23" t="s">
        <v>251</v>
      </c>
    </row>
    <row r="48" spans="3:4" ht="15.75" customHeight="1">
      <c r="C48" s="23" t="s">
        <v>252</v>
      </c>
    </row>
    <row r="49" spans="3:3" ht="15.75" customHeight="1">
      <c r="C49" s="23" t="s">
        <v>253</v>
      </c>
    </row>
    <row r="50" spans="3:3" ht="15.75" customHeight="1">
      <c r="C50" s="23" t="s">
        <v>254</v>
      </c>
    </row>
    <row r="51" spans="3:3" ht="15.75" customHeight="1">
      <c r="C51" s="23" t="s">
        <v>255</v>
      </c>
    </row>
    <row r="52" spans="3:3" ht="15.75" customHeight="1">
      <c r="C52" s="23" t="s">
        <v>256</v>
      </c>
    </row>
    <row r="53" spans="3:3" ht="15.75" customHeight="1"/>
    <row r="54" spans="3:3" ht="15.75" customHeight="1">
      <c r="C54" s="23" t="s">
        <v>257</v>
      </c>
    </row>
    <row r="55" spans="3:3" ht="15.75" customHeight="1">
      <c r="C55" s="23" t="s">
        <v>258</v>
      </c>
    </row>
    <row r="56" spans="3:3" ht="15.75" customHeight="1"/>
    <row r="57" spans="3:3" ht="15.75" customHeight="1"/>
    <row r="58" spans="3:3" ht="15.75" customHeight="1"/>
    <row r="59" spans="3:3" ht="15.75" customHeight="1"/>
    <row r="60" spans="3:3" ht="15.75" customHeight="1"/>
    <row r="61" spans="3:3" ht="15.75" customHeight="1"/>
    <row r="62" spans="3:3" ht="15.75" customHeight="1"/>
    <row r="63" spans="3:3" ht="15.75" customHeight="1"/>
    <row r="64" spans="3:3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dataValidations count="1">
    <dataValidation type="whole" allowBlank="1" showInputMessage="1" showErrorMessage="1" errorTitle="ALELEE" error="ALELELE" promptTitle="ALELELEE" prompt="ALELELE" sqref="F14:F22">
      <formula1>1</formula1>
      <formula2>10</formula2>
    </dataValidation>
  </dataValidations>
  <pageMargins left="0.7" right="0.7" top="0.75" bottom="0.75" header="0" footer="0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K1000"/>
  <sheetViews>
    <sheetView workbookViewId="0"/>
  </sheetViews>
  <sheetFormatPr defaultColWidth="14.42578125" defaultRowHeight="15" customHeight="1"/>
  <cols>
    <col min="1" max="1" width="8.7109375" customWidth="1"/>
    <col min="2" max="2" width="13.42578125" customWidth="1"/>
    <col min="3" max="26" width="8.7109375" customWidth="1"/>
  </cols>
  <sheetData>
    <row r="4" spans="2:11">
      <c r="B4" s="8" t="s">
        <v>161</v>
      </c>
      <c r="C4" s="8"/>
      <c r="D4" s="8"/>
      <c r="E4" s="8"/>
      <c r="F4" s="8"/>
      <c r="G4" s="8"/>
      <c r="H4" s="8"/>
      <c r="I4" s="8"/>
      <c r="J4" s="8"/>
      <c r="K4" s="8"/>
    </row>
    <row r="5" spans="2:11">
      <c r="B5" s="8"/>
      <c r="C5" s="8" t="s">
        <v>162</v>
      </c>
      <c r="D5" s="8"/>
      <c r="E5" s="8"/>
      <c r="F5" s="8"/>
      <c r="G5" s="8"/>
      <c r="H5" s="8"/>
      <c r="I5" s="8"/>
      <c r="J5" s="8"/>
      <c r="K5" s="8"/>
    </row>
    <row r="6" spans="2:11">
      <c r="B6" s="8"/>
      <c r="C6" s="8" t="s">
        <v>163</v>
      </c>
      <c r="D6" s="8"/>
      <c r="E6" s="8"/>
      <c r="F6" s="8"/>
      <c r="G6" s="8"/>
      <c r="H6" s="8"/>
      <c r="I6" s="8"/>
      <c r="J6" s="8"/>
      <c r="K6" s="8"/>
    </row>
    <row r="7" spans="2:11">
      <c r="B7" s="8"/>
      <c r="C7" s="8" t="s">
        <v>164</v>
      </c>
      <c r="D7" s="8"/>
      <c r="E7" s="8"/>
      <c r="F7" s="8"/>
      <c r="G7" s="8"/>
      <c r="H7" s="8"/>
      <c r="I7" s="8"/>
      <c r="J7" s="8"/>
      <c r="K7" s="8"/>
    </row>
    <row r="8" spans="2:11">
      <c r="B8" s="8"/>
      <c r="C8" s="8" t="s">
        <v>165</v>
      </c>
      <c r="D8" s="8"/>
      <c r="E8" s="8"/>
      <c r="F8" s="8"/>
      <c r="G8" s="8"/>
      <c r="H8" s="8"/>
      <c r="I8" s="8"/>
      <c r="J8" s="8"/>
      <c r="K8" s="8"/>
    </row>
    <row r="9" spans="2:11">
      <c r="B9" s="8"/>
      <c r="C9" s="8" t="s">
        <v>166</v>
      </c>
      <c r="D9" s="8"/>
      <c r="E9" s="8"/>
      <c r="F9" s="8"/>
      <c r="G9" s="8"/>
      <c r="H9" s="8"/>
      <c r="I9" s="8"/>
      <c r="J9" s="8"/>
      <c r="K9" s="8"/>
    </row>
    <row r="13" spans="2:11">
      <c r="B13" s="2" t="s">
        <v>167</v>
      </c>
      <c r="C13" s="3" t="s">
        <v>168</v>
      </c>
      <c r="F13" s="3" t="str">
        <f>LEFT(C13,5)</f>
        <v>"Exce</v>
      </c>
    </row>
    <row r="15" spans="2:11">
      <c r="B15" s="13" t="s">
        <v>169</v>
      </c>
      <c r="C15" s="3" t="s">
        <v>170</v>
      </c>
      <c r="F15" s="3" t="str">
        <f>RIGHT(C15,4)</f>
        <v>lsx"</v>
      </c>
    </row>
    <row r="17" spans="2:6">
      <c r="B17" s="13" t="s">
        <v>171</v>
      </c>
      <c r="C17" s="3" t="s">
        <v>172</v>
      </c>
      <c r="F17" s="3" t="str">
        <f>MID(C17,7,4)</f>
        <v>Tips</v>
      </c>
    </row>
    <row r="19" spans="2:6">
      <c r="B19" s="13" t="s">
        <v>173</v>
      </c>
      <c r="C19" s="3" t="s">
        <v>174</v>
      </c>
      <c r="F19" s="3">
        <f>LEN(C19)</f>
        <v>16</v>
      </c>
    </row>
    <row r="21" spans="2:6" ht="15.75" customHeight="1">
      <c r="B21" s="14" t="s">
        <v>175</v>
      </c>
      <c r="C21" s="3" t="s">
        <v>176</v>
      </c>
      <c r="F21" s="3" t="str">
        <f>MID(C21,7,6)</f>
        <v>67890-</v>
      </c>
    </row>
    <row r="22" spans="2:6" ht="15.75" customHeight="1"/>
    <row r="23" spans="2:6" ht="15.75" customHeight="1"/>
    <row r="24" spans="2:6" ht="15.75" customHeight="1"/>
    <row r="25" spans="2:6" ht="15.75" customHeight="1"/>
    <row r="26" spans="2:6" ht="15.75" customHeight="1"/>
    <row r="27" spans="2:6" ht="15.75" customHeight="1"/>
    <row r="28" spans="2:6" ht="15.75" customHeight="1"/>
    <row r="29" spans="2:6" ht="15.75" customHeight="1"/>
    <row r="30" spans="2:6" ht="15.75" customHeight="1"/>
    <row r="31" spans="2:6" ht="15.75" customHeight="1"/>
    <row r="32" spans="2: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0"/>
  <sheetViews>
    <sheetView workbookViewId="0"/>
  </sheetViews>
  <sheetFormatPr defaultColWidth="14.42578125" defaultRowHeight="15" customHeight="1"/>
  <cols>
    <col min="1" max="1" width="8.7109375" customWidth="1"/>
    <col min="2" max="2" width="11.42578125" customWidth="1"/>
    <col min="3" max="3" width="12.28515625" customWidth="1"/>
    <col min="4" max="26" width="8.7109375" customWidth="1"/>
  </cols>
  <sheetData>
    <row r="1" spans="1:14">
      <c r="A1" s="15" t="s">
        <v>177</v>
      </c>
    </row>
    <row r="2" spans="1:14">
      <c r="A2" s="15" t="s">
        <v>178</v>
      </c>
    </row>
    <row r="3" spans="1:14">
      <c r="A3" s="15" t="s">
        <v>179</v>
      </c>
    </row>
    <row r="4" spans="1:14">
      <c r="A4" s="15" t="s">
        <v>180</v>
      </c>
      <c r="B4" s="8" t="s">
        <v>181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spans="1:14">
      <c r="A5" s="15" t="s">
        <v>177</v>
      </c>
      <c r="B5" s="8"/>
      <c r="C5" s="8" t="s">
        <v>182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</row>
    <row r="6" spans="1:14">
      <c r="B6" s="8"/>
      <c r="C6" s="8" t="s">
        <v>183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</row>
    <row r="7" spans="1:14">
      <c r="B7" s="8"/>
      <c r="C7" s="8" t="s">
        <v>184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 spans="1:14">
      <c r="B8" s="8"/>
      <c r="C8" s="8" t="s">
        <v>185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</row>
    <row r="9" spans="1:14">
      <c r="B9" s="8"/>
      <c r="C9" s="8" t="s">
        <v>186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</row>
    <row r="12" spans="1:14">
      <c r="B12" s="2" t="s">
        <v>187</v>
      </c>
      <c r="C12" s="3" t="s">
        <v>188</v>
      </c>
      <c r="D12" s="3" t="s">
        <v>189</v>
      </c>
      <c r="E12" s="3" t="e">
        <f ca="1">CONCAT(C12,D12)</f>
        <v>#NAME?</v>
      </c>
    </row>
    <row r="14" spans="1:14">
      <c r="B14" s="3" t="s">
        <v>169</v>
      </c>
      <c r="C14" s="3" t="s">
        <v>190</v>
      </c>
      <c r="D14" s="3" t="s">
        <v>191</v>
      </c>
      <c r="E14" s="3" t="s">
        <v>192</v>
      </c>
      <c r="F14" s="3" t="e">
        <f ca="1">TEXTJOIN(,,C14,D14,E14)</f>
        <v>#NAME?</v>
      </c>
    </row>
    <row r="16" spans="1:14">
      <c r="B16" s="3" t="s">
        <v>171</v>
      </c>
      <c r="C16" s="3" t="str">
        <f>"2025" &amp; ": " &amp; "Excel Functions"</f>
        <v>2025: Excel Functions</v>
      </c>
    </row>
    <row r="18" spans="2:6">
      <c r="B18" s="3" t="s">
        <v>173</v>
      </c>
      <c r="C18" s="3" t="e">
        <f ca="1">TEXTJOIN(", ", TRUE, A1:A5)</f>
        <v>#NAME?</v>
      </c>
    </row>
    <row r="20" spans="2:6">
      <c r="B20" s="3" t="s">
        <v>175</v>
      </c>
      <c r="C20" s="15" t="s">
        <v>118</v>
      </c>
      <c r="D20" s="15" t="s">
        <v>119</v>
      </c>
      <c r="F20" s="15" t="s">
        <v>193</v>
      </c>
    </row>
    <row r="21" spans="2:6" ht="15.75" customHeight="1">
      <c r="C21" s="15" t="s">
        <v>194</v>
      </c>
      <c r="D21" s="15" t="s">
        <v>195</v>
      </c>
      <c r="F21" s="3" t="str">
        <f t="shared" ref="F21:F23" si="0">C21 &amp; " " &amp; D21</f>
        <v>JOHN Smith</v>
      </c>
    </row>
    <row r="22" spans="2:6" ht="15.75" customHeight="1">
      <c r="C22" s="15" t="s">
        <v>196</v>
      </c>
      <c r="D22" s="15" t="s">
        <v>197</v>
      </c>
      <c r="F22" s="3" t="str">
        <f t="shared" si="0"/>
        <v>Mary Jones</v>
      </c>
    </row>
    <row r="23" spans="2:6" ht="15.75" customHeight="1">
      <c r="C23" s="15" t="s">
        <v>198</v>
      </c>
      <c r="D23" s="15" t="s">
        <v>199</v>
      </c>
      <c r="F23" s="3" t="str">
        <f t="shared" si="0"/>
        <v>David Brown</v>
      </c>
    </row>
    <row r="24" spans="2:6" ht="15.75" customHeight="1"/>
    <row r="25" spans="2:6" ht="15.75" customHeight="1"/>
    <row r="26" spans="2:6" ht="15.75" customHeight="1"/>
    <row r="27" spans="2:6" ht="15.75" customHeight="1"/>
    <row r="28" spans="2:6" ht="15.75" customHeight="1"/>
    <row r="29" spans="2:6" ht="15.75" customHeight="1"/>
    <row r="30" spans="2:6" ht="15.75" customHeight="1"/>
    <row r="31" spans="2:6" ht="15.75" customHeight="1"/>
    <row r="32" spans="2: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M1000"/>
  <sheetViews>
    <sheetView workbookViewId="0">
      <selection activeCell="N7" sqref="N7"/>
    </sheetView>
  </sheetViews>
  <sheetFormatPr defaultColWidth="14.42578125" defaultRowHeight="15" customHeight="1"/>
  <cols>
    <col min="1" max="2" width="8.7109375" customWidth="1"/>
    <col min="3" max="3" width="10.28515625" customWidth="1"/>
    <col min="4" max="4" width="20.85546875" customWidth="1"/>
    <col min="5" max="6" width="9.7109375" customWidth="1"/>
    <col min="7" max="26" width="8.7109375" customWidth="1"/>
  </cols>
  <sheetData>
    <row r="3" spans="2:13">
      <c r="B3" s="25" t="s">
        <v>200</v>
      </c>
      <c r="C3" s="25"/>
      <c r="D3" s="25"/>
      <c r="E3" s="16"/>
      <c r="F3" s="16"/>
      <c r="G3" s="16"/>
      <c r="H3" s="16"/>
      <c r="I3" s="16"/>
      <c r="J3" s="16"/>
      <c r="K3" s="16"/>
      <c r="L3" s="16"/>
      <c r="M3" s="16"/>
    </row>
    <row r="4" spans="2:13">
      <c r="B4" s="16"/>
      <c r="C4" s="16" t="s">
        <v>201</v>
      </c>
      <c r="D4" s="16"/>
      <c r="E4" s="16"/>
      <c r="F4" s="16"/>
      <c r="G4" s="16"/>
      <c r="H4" s="16"/>
      <c r="I4" s="16"/>
      <c r="J4" s="16"/>
      <c r="K4" s="16"/>
      <c r="L4" s="16"/>
      <c r="M4" s="16"/>
    </row>
    <row r="5" spans="2:13">
      <c r="B5" s="16"/>
      <c r="C5" s="16" t="s">
        <v>202</v>
      </c>
      <c r="D5" s="16"/>
      <c r="E5" s="16"/>
      <c r="F5" s="16"/>
      <c r="G5" s="16"/>
      <c r="H5" s="16"/>
      <c r="I5" s="16"/>
      <c r="J5" s="16"/>
      <c r="K5" s="16"/>
      <c r="L5" s="16"/>
      <c r="M5" s="16"/>
    </row>
    <row r="6" spans="2:13">
      <c r="B6" s="16"/>
      <c r="C6" s="16" t="s">
        <v>203</v>
      </c>
      <c r="D6" s="16"/>
      <c r="E6" s="16"/>
      <c r="F6" s="16"/>
      <c r="G6" s="16"/>
      <c r="H6" s="16"/>
      <c r="I6" s="16"/>
      <c r="J6" s="16"/>
      <c r="K6" s="16"/>
      <c r="L6" s="16"/>
      <c r="M6" s="16"/>
    </row>
    <row r="7" spans="2:13">
      <c r="B7" s="16"/>
      <c r="C7" s="16" t="s">
        <v>204</v>
      </c>
      <c r="D7" s="16"/>
      <c r="E7" s="16"/>
      <c r="F7" s="16"/>
      <c r="G7" s="16"/>
      <c r="H7" s="16"/>
      <c r="I7" s="16"/>
      <c r="J7" s="16"/>
      <c r="K7" s="16"/>
      <c r="L7" s="16"/>
      <c r="M7" s="16"/>
    </row>
    <row r="8" spans="2:13">
      <c r="B8" s="16"/>
      <c r="C8" s="16" t="s">
        <v>205</v>
      </c>
      <c r="D8" s="16"/>
      <c r="E8" s="16"/>
      <c r="F8" s="16"/>
      <c r="G8" s="16"/>
      <c r="H8" s="16"/>
      <c r="I8" s="16"/>
      <c r="J8" s="16"/>
      <c r="K8" s="16"/>
      <c r="L8" s="16"/>
      <c r="M8" s="16"/>
    </row>
    <row r="10" spans="2:13">
      <c r="B10" s="2" t="s">
        <v>126</v>
      </c>
      <c r="C10" s="17" t="s">
        <v>206</v>
      </c>
    </row>
    <row r="11" spans="2:13" ht="17.25">
      <c r="C11" s="7" t="s">
        <v>207</v>
      </c>
    </row>
    <row r="12" spans="2:13">
      <c r="C12" s="6"/>
    </row>
    <row r="13" spans="2:13">
      <c r="C13" s="6" t="s">
        <v>208</v>
      </c>
    </row>
    <row r="14" spans="2:13">
      <c r="C14" s="6" t="s">
        <v>209</v>
      </c>
    </row>
    <row r="15" spans="2:13">
      <c r="C15" s="6" t="s">
        <v>210</v>
      </c>
    </row>
    <row r="17" spans="3:5">
      <c r="C17" s="2" t="s">
        <v>211</v>
      </c>
    </row>
    <row r="18" spans="3:5">
      <c r="C18" s="6" t="s">
        <v>212</v>
      </c>
      <c r="E18" s="11">
        <f ca="1">TODAY()</f>
        <v>46188</v>
      </c>
    </row>
    <row r="19" spans="3:5">
      <c r="C19" s="11"/>
    </row>
    <row r="20" spans="3:5" ht="17.25">
      <c r="C20" s="7" t="s">
        <v>213</v>
      </c>
    </row>
    <row r="21" spans="3:5" ht="15.75" customHeight="1">
      <c r="C21" s="6"/>
    </row>
    <row r="22" spans="3:5" ht="15.75" customHeight="1">
      <c r="C22" s="6" t="s">
        <v>214</v>
      </c>
    </row>
    <row r="23" spans="3:5" ht="15.75" customHeight="1">
      <c r="C23" s="6" t="s">
        <v>215</v>
      </c>
    </row>
    <row r="24" spans="3:5" ht="15.75" customHeight="1">
      <c r="C24" s="6" t="s">
        <v>210</v>
      </c>
    </row>
    <row r="25" spans="3:5" ht="15.75" customHeight="1"/>
    <row r="26" spans="3:5" ht="15.75" customHeight="1">
      <c r="C26" s="2" t="s">
        <v>211</v>
      </c>
    </row>
    <row r="27" spans="3:5" ht="15.75" customHeight="1">
      <c r="C27" s="3" t="s">
        <v>216</v>
      </c>
    </row>
    <row r="28" spans="3:5" ht="15.75" customHeight="1">
      <c r="C28" s="18"/>
    </row>
    <row r="29" spans="3:5" ht="15.75" customHeight="1">
      <c r="C29" s="18">
        <f ca="1">NOW()</f>
        <v>46188.566429050923</v>
      </c>
    </row>
    <row r="30" spans="3:5" ht="15.75" customHeight="1">
      <c r="C30" s="11"/>
    </row>
    <row r="31" spans="3:5" ht="15.75" customHeight="1">
      <c r="C31" s="17" t="s">
        <v>169</v>
      </c>
      <c r="D31" s="19">
        <v>45818</v>
      </c>
    </row>
    <row r="32" spans="3:5" ht="15.75" customHeight="1">
      <c r="C32" s="11"/>
      <c r="D32" s="3">
        <f ca="1">D31-TODAY()</f>
        <v>-370</v>
      </c>
    </row>
    <row r="33" spans="3:5" ht="15.75" customHeight="1"/>
    <row r="34" spans="3:5" ht="15.75" customHeight="1">
      <c r="C34" s="17" t="s">
        <v>171</v>
      </c>
      <c r="D34" s="11" t="str">
        <f ca="1">TEXT(NOW(),"mm/dd/yyyy") &amp; CHAR(10) &amp; TEXT(NOW(),"hh:mm AM/PM")</f>
        <v>06/15/2026
01:35 PM</v>
      </c>
    </row>
    <row r="35" spans="3:5" ht="15.75" customHeight="1">
      <c r="E35" s="11"/>
    </row>
    <row r="36" spans="3:5" ht="15.75" customHeight="1">
      <c r="C36" s="17" t="s">
        <v>173</v>
      </c>
      <c r="D36" s="17" t="s">
        <v>217</v>
      </c>
    </row>
    <row r="37" spans="3:5" ht="15.75" customHeight="1">
      <c r="D37" s="15" t="s">
        <v>218</v>
      </c>
    </row>
    <row r="38" spans="3:5" ht="15.75" customHeight="1">
      <c r="D38" s="15" t="s">
        <v>219</v>
      </c>
    </row>
    <row r="39" spans="3:5" ht="15.75" customHeight="1">
      <c r="D39" s="17" t="s">
        <v>220</v>
      </c>
    </row>
    <row r="40" spans="3:5" ht="15.75" customHeight="1">
      <c r="D40" s="15" t="s">
        <v>221</v>
      </c>
    </row>
    <row r="41" spans="3:5" ht="15.75" customHeight="1">
      <c r="D41" s="15" t="s">
        <v>222</v>
      </c>
    </row>
    <row r="42" spans="3:5" ht="15.75" customHeight="1">
      <c r="D42" s="15" t="s">
        <v>223</v>
      </c>
    </row>
    <row r="43" spans="3:5" ht="15.75" customHeight="1"/>
    <row r="44" spans="3:5" ht="15.75" customHeight="1">
      <c r="D44" s="17" t="s">
        <v>224</v>
      </c>
    </row>
    <row r="45" spans="3:5" ht="15.75" customHeight="1">
      <c r="D45" s="20"/>
    </row>
    <row r="46" spans="3:5" ht="15.75" customHeight="1">
      <c r="D46" s="17" t="s">
        <v>225</v>
      </c>
    </row>
    <row r="47" spans="3:5" ht="15.75" customHeight="1">
      <c r="D47" s="17" t="s">
        <v>226</v>
      </c>
    </row>
    <row r="48" spans="3:5" ht="15.75" customHeight="1">
      <c r="D48" s="21">
        <f ca="1">TODAY()</f>
        <v>46188</v>
      </c>
    </row>
    <row r="49" spans="3:5" ht="15.75" customHeight="1"/>
    <row r="50" spans="3:5" ht="15.75" customHeight="1">
      <c r="C50" s="17" t="s">
        <v>175</v>
      </c>
      <c r="D50" s="17" t="s">
        <v>227</v>
      </c>
    </row>
    <row r="51" spans="3:5" ht="15.75" customHeight="1">
      <c r="D51" s="15" t="s">
        <v>228</v>
      </c>
      <c r="E51" s="22">
        <v>46187</v>
      </c>
    </row>
    <row r="52" spans="3:5" ht="15.75" customHeight="1">
      <c r="D52" s="15" t="s">
        <v>229</v>
      </c>
    </row>
    <row r="53" spans="3:5" ht="15.75" customHeight="1">
      <c r="D53" s="17" t="s">
        <v>230</v>
      </c>
    </row>
    <row r="54" spans="3:5" ht="15.75" customHeight="1">
      <c r="D54" s="22">
        <v>46187</v>
      </c>
    </row>
    <row r="55" spans="3:5" ht="15.75" customHeight="1"/>
    <row r="56" spans="3:5" ht="15.75" customHeight="1"/>
    <row r="57" spans="3:5" ht="15.75" customHeight="1"/>
    <row r="58" spans="3:5" ht="15.75" customHeight="1"/>
    <row r="59" spans="3:5" ht="15.75" customHeight="1"/>
    <row r="60" spans="3:5" ht="15.75" customHeight="1"/>
    <row r="61" spans="3:5" ht="15.75" customHeight="1"/>
    <row r="62" spans="3:5" ht="15.75" customHeight="1"/>
    <row r="63" spans="3:5" ht="15.75" customHeight="1"/>
    <row r="64" spans="3:5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4.42578125" defaultRowHeight="15" customHeight="1"/>
  <cols>
    <col min="1" max="26" width="8.710937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2026-06-15T07:34:22Z</dcterms:created>
  <dcterms:modified xsi:type="dcterms:W3CDTF">2026-06-15T08:05:58Z</dcterms:modified>
</cp:coreProperties>
</file>